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×&quot;"/>
    <numFmt numFmtId="165" formatCode="0.0&quot;%&quot;"/>
    <numFmt numFmtId="166" formatCode="₹#,##0"/>
    <numFmt numFmtId="167" formatCode="₹#,##0;[Red]-₹#,##0"/>
  </numFmts>
  <fonts count="9">
    <font>
      <name val="Calibri"/>
      <family val="2"/>
      <color theme="1"/>
      <sz val="11"/>
      <scheme val="minor"/>
    </font>
    <font>
      <name val="Calibri"/>
      <b val="1"/>
      <color rgb="FFE5E7EB"/>
      <sz val="18"/>
    </font>
    <font>
      <name val="Calibri"/>
      <color rgb="FF94A3B8"/>
      <sz val="10"/>
    </font>
    <font>
      <name val="Calibri"/>
      <b val="1"/>
      <color rgb="FFF26B1F"/>
      <sz val="12"/>
    </font>
    <font>
      <name val="Calibri"/>
      <color rgb="FF94A3B8"/>
      <sz val="11"/>
    </font>
    <font>
      <name val="Consolas"/>
      <b val="1"/>
      <color rgb="FFE5E7EB"/>
      <sz val="12"/>
    </font>
    <font>
      <name val="Consolas"/>
      <b val="1"/>
      <color rgb="FF22C55E"/>
      <sz val="12"/>
    </font>
    <font>
      <name val="Calibri"/>
      <b val="1"/>
      <color rgb="FFF26B1F"/>
      <sz val="13"/>
    </font>
    <font>
      <name val="Calibri"/>
      <i val="1"/>
      <color rgb="FF94A3B8"/>
      <sz val="9"/>
    </font>
  </fonts>
  <fills count="5">
    <fill>
      <patternFill/>
    </fill>
    <fill>
      <patternFill patternType="gray125"/>
    </fill>
    <fill>
      <patternFill patternType="solid">
        <fgColor rgb="FF0A0E1A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7" fontId="6" fillId="4" borderId="1" applyAlignment="1" pivotButton="0" quotePrefix="0" xfId="0">
      <alignment horizontal="center" vertical="center"/>
    </xf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9" customWidth="1" min="4" max="4"/>
    <col width="9" customWidth="1" min="5" max="5"/>
    <col width="7" customWidth="1" min="6" max="6"/>
    <col width="12" customWidth="1" min="7" max="7"/>
    <col width="14" customWidth="1" min="8" max="8"/>
    <col width="14" customWidth="1" min="9" max="9"/>
    <col width="30" customWidth="1" min="10" max="10"/>
  </cols>
  <sheetData>
    <row r="1" ht="36" customHeight="1">
      <c r="A1" s="1" t="inlineStr">
        <is>
          <t>TRADE REVIEW · WEEKLY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Lite of Smart Portfolio Stats Generator review logic — 3-question post-trade journal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THIS WEEK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5" t="inlineStr">
        <is>
          <t>Week of (date)</t>
        </is>
      </c>
      <c r="B5" s="6" t="inlineStr">
        <is>
          <t>2026-05-29</t>
        </is>
      </c>
      <c r="C5" s="7" t="inlineStr">
        <is>
          <t>Friday-of-week or any anchor date</t>
        </is>
      </c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4" t="inlineStr">
        <is>
          <t>Q1  ·  LARGEST LOSING DAY THIS WEEK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5" t="inlineStr">
        <is>
          <t>Date</t>
        </is>
      </c>
      <c r="B8" s="6" t="inlineStr">
        <is>
          <t>2026-05-27</t>
        </is>
      </c>
      <c r="C8" s="7" t="inlineStr"/>
      <c r="D8" s="2" t="n"/>
      <c r="E8" s="2" t="n"/>
      <c r="F8" s="2" t="n"/>
      <c r="G8" s="2" t="n"/>
      <c r="H8" s="2" t="n"/>
      <c r="I8" s="2" t="n"/>
      <c r="J8" s="2" t="n"/>
    </row>
    <row r="9">
      <c r="A9" s="5" t="inlineStr">
        <is>
          <t>P&amp;L (₹) — enter as negative</t>
        </is>
      </c>
      <c r="B9" s="6" t="n">
        <v>-45000</v>
      </c>
      <c r="C9" s="7" t="inlineStr">
        <is>
          <t>e.g. -45000 for ₹45k loss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s="5" t="inlineStr">
        <is>
          <t>More than 2× your usual daily loss? (Y/N)</t>
        </is>
      </c>
      <c r="B10" s="6" t="inlineStr">
        <is>
          <t>Y</t>
        </is>
      </c>
      <c r="C10" s="7" t="inlineStr">
        <is>
          <t>honest answer only</t>
        </is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4" t="inlineStr">
        <is>
          <t>Q2  ·  POSITION SIZE AT THE TRIGGER TRADE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5" t="inlineStr">
        <is>
          <t>Usual position size (lots)</t>
        </is>
      </c>
      <c r="B13" s="6" t="n">
        <v>2</v>
      </c>
      <c r="C13" s="7" t="inlineStr">
        <is>
          <t>your average sizing on a clean morning</t>
        </is>
      </c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Actual size at the trigger trade (lots)</t>
        </is>
      </c>
      <c r="B14" s="6" t="n">
        <v>5</v>
      </c>
      <c r="C14" s="7" t="inlineStr">
        <is>
          <t>the trade that produced Q1's loss</t>
        </is>
      </c>
      <c r="D14" s="2" t="n"/>
      <c r="E14" s="2" t="n"/>
      <c r="F14" s="2" t="n"/>
      <c r="G14" s="2" t="n"/>
      <c r="H14" s="2" t="n"/>
      <c r="I14" s="2" t="n"/>
      <c r="J14" s="2" t="n"/>
    </row>
    <row r="15">
      <c r="A15" s="5" t="inlineStr">
        <is>
          <t>Size escalation factor</t>
        </is>
      </c>
      <c r="B15" s="8">
        <f>IF(B13&gt;0,B14/B13,"—")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5" t="inlineStr">
        <is>
          <t>Was the size bigger than usual?</t>
        </is>
      </c>
      <c r="B16" s="9">
        <f>IF(NOT(ISNUMBER(B15)),"—",IF(B15&gt;1,"YES — escalated " &amp; ROUND(B15,1) &amp; "× normal","no — within usual range"))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4" t="inlineStr">
        <is>
          <t>Q3  ·  THE RULE THAT WOULD HAVE STOPPED YOU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5" t="inlineStr">
        <is>
          <t>Did a written rule exist BEFORE the trade? (Y/N)</t>
        </is>
      </c>
      <c r="B19" s="6" t="inlineStr">
        <is>
          <t>N</t>
        </is>
      </c>
      <c r="C19" s="7" t="inlineStr">
        <is>
          <t>in writing, before the morning</t>
        </is>
      </c>
      <c r="D19" s="2" t="n"/>
      <c r="E19" s="2" t="n"/>
      <c r="F19" s="2" t="n"/>
      <c r="G19" s="2" t="n"/>
      <c r="H19" s="2" t="n"/>
      <c r="I19" s="2" t="n"/>
      <c r="J19" s="2" t="n"/>
    </row>
    <row r="20">
      <c r="A20" s="5" t="inlineStr">
        <is>
          <t>If yes — the rule (verbatim)</t>
        </is>
      </c>
      <c r="B20" s="6" t="inlineStr">
        <is>
          <t>—</t>
        </is>
      </c>
      <c r="C20" s="7" t="inlineStr">
        <is>
          <t>e.g., 'daily loss cap: ₹15,000'</t>
        </is>
      </c>
      <c r="D20" s="2" t="n"/>
      <c r="E20" s="2" t="n"/>
      <c r="F20" s="2" t="n"/>
      <c r="G20" s="2" t="n"/>
      <c r="H20" s="2" t="n"/>
      <c r="I20" s="2" t="n"/>
      <c r="J20" s="2" t="n"/>
    </row>
    <row r="21">
      <c r="A21" s="5" t="inlineStr">
        <is>
          <t>Did you follow the rule? (Y/N)</t>
        </is>
      </c>
      <c r="B21" s="6" t="inlineStr">
        <is>
          <t>—</t>
        </is>
      </c>
      <c r="C21" s="7" t="inlineStr">
        <is>
          <t>N if no rule existed</t>
        </is>
      </c>
      <c r="D21" s="2" t="n"/>
      <c r="E21" s="2" t="n"/>
      <c r="F21" s="2" t="n"/>
      <c r="G21" s="2" t="n"/>
      <c r="H21" s="2" t="n"/>
      <c r="I21" s="2" t="n"/>
      <c r="J21" s="2" t="n"/>
    </row>
    <row r="22">
      <c r="A22" s="5" t="inlineStr">
        <is>
          <t>If no — what stopped you? (1 sentence)</t>
        </is>
      </c>
      <c r="B22" s="6" t="inlineStr">
        <is>
          <t>—</t>
        </is>
      </c>
      <c r="C22" s="7" t="inlineStr">
        <is>
          <t>the honest reason, not the excuse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4" t="inlineStr">
        <is>
          <t>BARGAINING-LOOP SCORE THIS WEEK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32" customHeight="1">
      <c r="A25" s="10">
        <f>IF(AND(UPPER(B10)="Y",ISNUMBER(B15),B15&gt;1,OR(UPPER(B19)="N",UPPER(B21)="N")),"⛔  BARGAINING — schedule, not strategy. Re-read Day 5.",IF(AND(UPPER(B10)="Y",ISNUMBER(B15),B15&gt;1.5),"⚠  Size escalation detected. The schedule won this week.","✓  No bargaining-loop signature this week. Hold the line."))</f>
        <v/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4" t="inlineStr">
        <is>
          <t>TRADE JOURNAL  ·  full week  (enter your trades — feeds the roll-up below)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38" customHeight="1">
      <c r="A28" s="11" t="inlineStr">
        <is>
          <t>Date</t>
        </is>
      </c>
      <c r="B28" s="11" t="inlineStr">
        <is>
          <t>Instrument</t>
        </is>
      </c>
      <c r="C28" s="11" t="inlineStr">
        <is>
          <t>Entry</t>
        </is>
      </c>
      <c r="D28" s="11" t="inlineStr">
        <is>
          <t>Stop</t>
        </is>
      </c>
      <c r="E28" s="11" t="inlineStr">
        <is>
          <t>Exit</t>
        </is>
      </c>
      <c r="F28" s="11" t="inlineStr">
        <is>
          <t>Lots</t>
        </is>
      </c>
      <c r="G28" s="11" t="inlineStr">
        <is>
          <t>P&amp;L (₹)</t>
        </is>
      </c>
      <c r="H28" s="11" t="inlineStr">
        <is>
          <t>Sized bigger than usual? (Y/N)</t>
        </is>
      </c>
      <c r="I28" s="11" t="inlineStr">
        <is>
          <t>Rule existed in writing? (Y/N)</t>
        </is>
      </c>
      <c r="J28" s="11" t="inlineStr">
        <is>
          <t>Notes</t>
        </is>
      </c>
    </row>
    <row r="29">
      <c r="A29" s="12" t="inlineStr">
        <is>
          <t>2026-05-26</t>
        </is>
      </c>
      <c r="B29" s="12" t="inlineStr">
        <is>
          <t>Nifty 24000 CE</t>
        </is>
      </c>
      <c r="C29" s="6" t="n">
        <v>80</v>
      </c>
      <c r="D29" s="6" t="n">
        <v>60</v>
      </c>
      <c r="E29" s="6" t="n">
        <v>65</v>
      </c>
      <c r="F29" s="6" t="n">
        <v>2</v>
      </c>
      <c r="G29" s="6" t="n">
        <v>-1950</v>
      </c>
      <c r="H29" s="12" t="inlineStr">
        <is>
          <t>N</t>
        </is>
      </c>
      <c r="I29" s="12" t="inlineStr">
        <is>
          <t>Y</t>
        </is>
      </c>
      <c r="J29" s="13" t="inlineStr">
        <is>
          <t>clean exit at stop</t>
        </is>
      </c>
    </row>
    <row r="30">
      <c r="A30" s="12" t="inlineStr">
        <is>
          <t>2026-05-27</t>
        </is>
      </c>
      <c r="B30" s="12" t="inlineStr">
        <is>
          <t>Nifty 23900 PE</t>
        </is>
      </c>
      <c r="C30" s="6" t="n">
        <v>95</v>
      </c>
      <c r="D30" s="6" t="n">
        <v>70</v>
      </c>
      <c r="E30" s="6" t="n">
        <v>35</v>
      </c>
      <c r="F30" s="6" t="n">
        <v>5</v>
      </c>
      <c r="G30" s="6" t="n">
        <v>-19500</v>
      </c>
      <c r="H30" s="12" t="inlineStr">
        <is>
          <t>Y</t>
        </is>
      </c>
      <c r="I30" s="12" t="inlineStr">
        <is>
          <t>N</t>
        </is>
      </c>
      <c r="J30" s="13" t="inlineStr">
        <is>
          <t>averaging-down — the trigger</t>
        </is>
      </c>
    </row>
    <row r="31">
      <c r="A31" s="12" t="inlineStr">
        <is>
          <t>2026-05-28</t>
        </is>
      </c>
      <c r="B31" s="12" t="inlineStr">
        <is>
          <t>Nifty 23800 PE</t>
        </is>
      </c>
      <c r="C31" s="6" t="n">
        <v>60</v>
      </c>
      <c r="D31" s="6" t="n">
        <v>45</v>
      </c>
      <c r="E31" s="6" t="n">
        <v>90</v>
      </c>
      <c r="F31" s="6" t="n">
        <v>2</v>
      </c>
      <c r="G31" s="6" t="n">
        <v>3900</v>
      </c>
      <c r="H31" s="12" t="inlineStr">
        <is>
          <t>N</t>
        </is>
      </c>
      <c r="I31" s="12" t="inlineStr">
        <is>
          <t>Y</t>
        </is>
      </c>
      <c r="J31" s="13" t="inlineStr">
        <is>
          <t>took the rule trade</t>
        </is>
      </c>
    </row>
    <row r="32">
      <c r="A32" s="12" t="n"/>
      <c r="B32" s="12" t="n"/>
      <c r="C32" s="6" t="n"/>
      <c r="D32" s="6" t="n"/>
      <c r="E32" s="6" t="n"/>
      <c r="F32" s="6" t="n"/>
      <c r="G32" s="6" t="n"/>
      <c r="H32" s="12" t="n"/>
      <c r="I32" s="12" t="n"/>
      <c r="J32" s="13" t="n"/>
    </row>
    <row r="33">
      <c r="A33" s="12" t="n"/>
      <c r="B33" s="12" t="n"/>
      <c r="C33" s="6" t="n"/>
      <c r="D33" s="6" t="n"/>
      <c r="E33" s="6" t="n"/>
      <c r="F33" s="6" t="n"/>
      <c r="G33" s="6" t="n"/>
      <c r="H33" s="12" t="n"/>
      <c r="I33" s="12" t="n"/>
      <c r="J33" s="1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4" t="inlineStr">
        <is>
          <t>ROLL-UP  ·  feeds the Risk of Ruin Calculator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5" t="inlineStr">
        <is>
          <t>Trades this week</t>
        </is>
      </c>
      <c r="B36" s="14">
        <f>COUNTA(A29:A33)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5" t="inlineStr">
        <is>
          <t>Winning trades</t>
        </is>
      </c>
      <c r="B37" s="14">
        <f>COUNTIF(G29:G33,"&gt;0")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5" t="inlineStr">
        <is>
          <t>Losing trades</t>
        </is>
      </c>
      <c r="B38" s="14">
        <f>COUNTIF(G29:G33,"&lt;0")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5" t="inlineStr">
        <is>
          <t>Win rate (%)</t>
        </is>
      </c>
      <c r="B39" s="15">
        <f>IF(B36&gt;0,B37/B36*100,"—")</f>
        <v/>
      </c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5" t="inlineStr">
        <is>
          <t>Avg win (₹)</t>
        </is>
      </c>
      <c r="B40" s="16">
        <f>IFERROR(AVERAGEIF(G29:G33,"&gt;0"),"—")</f>
        <v/>
      </c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5" t="inlineStr">
        <is>
          <t>Avg loss (₹)</t>
        </is>
      </c>
      <c r="B41" s="16">
        <f>IFERROR(AVERAGEIF(G29:G33,"&lt;0"),"—")</f>
        <v/>
      </c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5" t="inlineStr">
        <is>
          <t>Total P&amp;L (₹)</t>
        </is>
      </c>
      <c r="B42" s="17">
        <f>SUM(G29:G33)</f>
        <v/>
      </c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18" t="inlineStr">
        <is>
          <t>Educational only. Not financial advice. Build your own conviction.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</sheetData>
  <mergeCells count="11">
    <mergeCell ref="A1:D1"/>
    <mergeCell ref="A18:D18"/>
    <mergeCell ref="A27:D27"/>
    <mergeCell ref="A12:D12"/>
    <mergeCell ref="A4:D4"/>
    <mergeCell ref="A35:D35"/>
    <mergeCell ref="A7:D7"/>
    <mergeCell ref="A25:D25"/>
    <mergeCell ref="A24:D24"/>
    <mergeCell ref="A2:D2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2026-05-26T03:30:10Z</dcterms:created>
  <dcterms:modified xmlns:dcterms="http://purl.org/dc/terms/" xmlns:xsi="http://www.w3.org/2001/XMLSchema-instance" xsi:type="dcterms:W3CDTF">2026-05-26T03:30:10Z</dcterms:modified>
</cp:coreProperties>
</file>