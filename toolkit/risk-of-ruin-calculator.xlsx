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of Ru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&quot;R&quot;"/>
  </numFmts>
  <fonts count="9">
    <font>
      <name val="Calibri"/>
      <family val="2"/>
      <color theme="1"/>
      <sz val="11"/>
      <scheme val="minor"/>
    </font>
    <font>
      <name val="Calibri"/>
      <b val="1"/>
      <color rgb="FFE5E7EB"/>
      <sz val="18"/>
    </font>
    <font>
      <name val="Calibri"/>
      <color rgb="FF94A3B8"/>
      <sz val="10"/>
    </font>
    <font>
      <name val="Calibri"/>
      <b val="1"/>
      <color rgb="FFF26B1F"/>
      <sz val="12"/>
    </font>
    <font>
      <name val="Calibri"/>
      <color rgb="FF94A3B8"/>
      <sz val="11"/>
    </font>
    <font>
      <name val="Consolas"/>
      <b val="1"/>
      <color rgb="FFE5E7EB"/>
      <sz val="12"/>
    </font>
    <font>
      <name val="Consolas"/>
      <b val="1"/>
      <color rgb="FF22C55E"/>
      <sz val="12"/>
    </font>
    <font>
      <name val="Calibri"/>
      <b val="1"/>
      <color rgb="FFF26B1F"/>
      <sz val="13"/>
    </font>
    <font>
      <name val="Calibri"/>
      <i val="1"/>
      <color rgb="FF94A3B8"/>
      <sz val="9"/>
    </font>
  </fonts>
  <fills count="5">
    <fill>
      <patternFill/>
    </fill>
    <fill>
      <patternFill patternType="gray125"/>
    </fill>
    <fill>
      <patternFill patternType="solid">
        <fgColor rgb="FF0A0E1A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0" fontId="7" fillId="2" borderId="0" applyAlignment="1" pivotButton="0" quotePrefix="0" xfId="0">
      <alignment horizontal="left" vertical="center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 ht="36" customHeight="1">
      <c r="A1" s="1" t="inlineStr">
        <is>
          <t>RISK OF RUIN CALCULATOR</t>
        </is>
      </c>
      <c r="B1" s="2" t="n"/>
      <c r="C1" s="2" t="n"/>
      <c r="D1" s="2" t="n"/>
    </row>
    <row r="2">
      <c r="A2" s="3" t="inlineStr">
        <is>
          <t>Lite of Smart Portfolio Stats Generator variance logic — win rate × R-multiples → ruin probability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INPUTS  ·  use your actual last-100-trades data</t>
        </is>
      </c>
      <c r="B4" s="2" t="n"/>
      <c r="C4" s="2" t="n"/>
      <c r="D4" s="2" t="n"/>
    </row>
    <row r="5">
      <c r="A5" s="5" t="inlineStr">
        <is>
          <t>Win rate (%)</t>
        </is>
      </c>
      <c r="B5" s="6" t="n">
        <v>50</v>
      </c>
      <c r="C5" s="7" t="inlineStr">
        <is>
          <t>e.g. 50 = wins half the time</t>
        </is>
      </c>
      <c r="D5" s="2" t="n"/>
    </row>
    <row r="6">
      <c r="A6" s="5" t="inlineStr">
        <is>
          <t>Avg win (R-multiples)</t>
        </is>
      </c>
      <c r="B6" s="6" t="n">
        <v>1.5</v>
      </c>
      <c r="C6" s="7" t="inlineStr">
        <is>
          <t>1.5R = win is 1.5× your risk-unit</t>
        </is>
      </c>
      <c r="D6" s="2" t="n"/>
    </row>
    <row r="7">
      <c r="A7" s="5" t="inlineStr">
        <is>
          <t>Avg loss (R-multiples)</t>
        </is>
      </c>
      <c r="B7" s="6" t="n">
        <v>1</v>
      </c>
      <c r="C7" s="7" t="inlineStr">
        <is>
          <t>1.0R = loss equals your risk-unit. If &gt;1, your stops are getting skipped.</t>
        </is>
      </c>
      <c r="D7" s="2" t="n"/>
    </row>
    <row r="8">
      <c r="A8" s="5" t="inlineStr">
        <is>
          <t>Risk per trade (% of capital)</t>
        </is>
      </c>
      <c r="B8" s="6" t="n">
        <v>1</v>
      </c>
      <c r="C8" s="7" t="inlineStr">
        <is>
          <t>the % you'd lose on a full stop-out</t>
        </is>
      </c>
      <c r="D8" s="2" t="n"/>
    </row>
    <row r="9">
      <c r="A9" s="5" t="inlineStr">
        <is>
          <t>Trades to evaluate</t>
        </is>
      </c>
      <c r="B9" s="6" t="n">
        <v>200</v>
      </c>
      <c r="C9" s="7" t="inlineStr">
        <is>
          <t>sample size for the variance curve</t>
        </is>
      </c>
      <c r="D9" s="2" t="n"/>
    </row>
    <row r="10">
      <c r="A10" s="2" t="n"/>
      <c r="B10" s="2" t="n"/>
      <c r="C10" s="2" t="n"/>
      <c r="D10" s="2" t="n"/>
    </row>
    <row r="11">
      <c r="A11" s="4" t="inlineStr">
        <is>
          <t>OUTPUTS  ·  computed</t>
        </is>
      </c>
      <c r="B11" s="2" t="n"/>
      <c r="C11" s="2" t="n"/>
      <c r="D11" s="2" t="n"/>
    </row>
    <row r="12">
      <c r="A12" s="5" t="inlineStr">
        <is>
          <t>Expectancy per trade (R)</t>
        </is>
      </c>
      <c r="B12" s="8">
        <f>(B5/100)*B6 - (1-B5/100)*B7</f>
        <v/>
      </c>
      <c r="C12" s="2" t="n"/>
      <c r="D12" s="2" t="n"/>
    </row>
    <row r="13">
      <c r="A13" s="5" t="inlineStr">
        <is>
          <t>Edge (expectancy / avg loss)</t>
        </is>
      </c>
      <c r="B13" s="9">
        <f>B12/B7</f>
        <v/>
      </c>
      <c r="C13" s="2" t="n"/>
      <c r="D13" s="2" t="n"/>
    </row>
    <row r="14">
      <c r="A14" s="5" t="inlineStr">
        <is>
          <t>Risk-units of capital</t>
        </is>
      </c>
      <c r="B14" s="10">
        <f>1/(B8/100)</f>
        <v/>
      </c>
      <c r="C14" s="2" t="n"/>
      <c r="D14" s="2" t="n"/>
    </row>
    <row r="15">
      <c r="A15" s="5" t="inlineStr">
        <is>
          <t>Std deviation per trade (R)</t>
        </is>
      </c>
      <c r="B15" s="8">
        <f>SQRT((B5/100)*(B6-B12)^2 + (1-B5/100)*(-B7-B12)^2)</f>
        <v/>
      </c>
      <c r="C15" s="2" t="n"/>
      <c r="D15" s="2" t="n"/>
    </row>
    <row r="16">
      <c r="A16" s="5" t="inlineStr">
        <is>
          <t>Probability of ruin</t>
        </is>
      </c>
      <c r="B16" s="9">
        <f>IF(B13&lt;=0,1,((1-B13)/(1+B13))^B14)</f>
        <v/>
      </c>
      <c r="C16" s="2" t="n"/>
      <c r="D16" s="2" t="n"/>
    </row>
    <row r="17">
      <c r="A17" s="5" t="inlineStr">
        <is>
          <t>Expected return after N trades (R)</t>
        </is>
      </c>
      <c r="B17" s="11">
        <f>B12*B9</f>
        <v/>
      </c>
      <c r="C17" s="2" t="n"/>
      <c r="D17" s="2" t="n"/>
    </row>
    <row r="18">
      <c r="A18" s="2" t="n"/>
      <c r="B18" s="2" t="n"/>
      <c r="C18" s="2" t="n"/>
      <c r="D18" s="2" t="n"/>
    </row>
    <row r="19">
      <c r="A19" s="4" t="inlineStr">
        <is>
          <t>VARIANCE CURVE  ·  approximate, 90% range</t>
        </is>
      </c>
      <c r="B19" s="2" t="n"/>
      <c r="C19" s="2" t="n"/>
      <c r="D19" s="2" t="n"/>
    </row>
    <row r="20">
      <c r="A20" s="12" t="inlineStr">
        <is>
          <t>After N trades</t>
        </is>
      </c>
      <c r="B20" s="12" t="inlineStr">
        <is>
          <t>Low (5%)</t>
        </is>
      </c>
      <c r="C20" s="12" t="inlineStr">
        <is>
          <t>Mid (50%)</t>
        </is>
      </c>
      <c r="D20" s="12" t="inlineStr">
        <is>
          <t>High (95%)</t>
        </is>
      </c>
    </row>
    <row r="21">
      <c r="A21" s="13" t="n">
        <v>50</v>
      </c>
      <c r="B21" s="14">
        <f>B12*50 - 1.645*SQRT(50)*B15</f>
        <v/>
      </c>
      <c r="C21" s="14">
        <f>B12*50</f>
        <v/>
      </c>
      <c r="D21" s="14">
        <f>B12*50 + 1.645*SQRT(50)*B15</f>
        <v/>
      </c>
    </row>
    <row r="22">
      <c r="A22" s="13" t="n">
        <v>100</v>
      </c>
      <c r="B22" s="14">
        <f>B12*100 - 1.645*SQRT(100)*B15</f>
        <v/>
      </c>
      <c r="C22" s="14">
        <f>B12*100</f>
        <v/>
      </c>
      <c r="D22" s="14">
        <f>B12*100 + 1.645*SQRT(100)*B15</f>
        <v/>
      </c>
    </row>
    <row r="23">
      <c r="A23" s="13" t="n">
        <v>200</v>
      </c>
      <c r="B23" s="14">
        <f>B12*200 - 1.645*SQRT(200)*B15</f>
        <v/>
      </c>
      <c r="C23" s="14">
        <f>B12*200</f>
        <v/>
      </c>
      <c r="D23" s="14">
        <f>B12*200 + 1.645*SQRT(200)*B15</f>
        <v/>
      </c>
    </row>
    <row r="24">
      <c r="A24" s="2" t="n"/>
      <c r="B24" s="2" t="n"/>
      <c r="C24" s="2" t="n"/>
      <c r="D24" s="2" t="n"/>
    </row>
    <row r="25">
      <c r="A25" s="4" t="inlineStr">
        <is>
          <t>VERDICT</t>
        </is>
      </c>
      <c r="B25" s="2" t="n"/>
      <c r="C25" s="2" t="n"/>
      <c r="D25" s="2" t="n"/>
    </row>
    <row r="26" ht="32" customHeight="1">
      <c r="A26" s="15">
        <f>IF(B13&lt;=0,"⛔  NEGATIVE EXPECTANCY — system loses money long-run. Stop and rebuild.",IF(B16&gt;0.05,"⚠  Edge positive, but ruin probability = " &amp; TEXT(B16,"0.00%") &amp; ". Cut risk per trade.","✓  Edge = " &amp; TEXT(B13,"0.00%") &amp; "  ·  Ruin probability = " &amp; TEXT(B16,"0.00%") &amp; "  ·  Capital sized for survival."))</f>
        <v/>
      </c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4" t="inlineStr">
        <is>
          <t>HOW TO USE THIS</t>
        </is>
      </c>
      <c r="B28" s="2" t="n"/>
      <c r="C28" s="2" t="n"/>
      <c r="D28" s="2" t="n"/>
    </row>
    <row r="29">
      <c r="A29" s="3" t="inlineStr">
        <is>
          <t>1. Run expectancy on your last 100 actual trades (not the 92% win rate you hoped for).</t>
        </is>
      </c>
      <c r="B29" s="2" t="n"/>
      <c r="C29" s="2" t="n"/>
      <c r="D29" s="2" t="n"/>
    </row>
    <row r="30">
      <c r="A30" s="3" t="inlineStr">
        <is>
          <t>2. Enter the real win rate, real avg win and avg loss in R-multiples.</t>
        </is>
      </c>
      <c r="B30" s="2" t="n"/>
      <c r="C30" s="2" t="n"/>
      <c r="D30" s="2" t="n"/>
    </row>
    <row r="31">
      <c r="A31" s="3" t="inlineStr">
        <is>
          <t>3. The verdict tells you whether you have a system or a hope.</t>
        </is>
      </c>
      <c r="B31" s="2" t="n"/>
      <c r="C31" s="2" t="n"/>
      <c r="D31" s="2" t="n"/>
    </row>
    <row r="32">
      <c r="A32" s="3" t="inlineStr">
        <is>
          <t>4. If ruin probability &gt; 5%, cut risk per trade in half and re-check.</t>
        </is>
      </c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16" t="inlineStr">
        <is>
          <t>Educational only. Not financial advice. Build your own conviction.</t>
        </is>
      </c>
      <c r="B34" s="2" t="n"/>
      <c r="C34" s="2" t="n"/>
      <c r="D34" s="2" t="n"/>
    </row>
    <row r="35">
      <c r="A35" s="2" t="n"/>
      <c r="B35" s="2" t="n"/>
      <c r="C35" s="2" t="n"/>
      <c r="D35" s="2" t="n"/>
    </row>
  </sheetData>
  <mergeCells count="13">
    <mergeCell ref="A1:D1"/>
    <mergeCell ref="A31:D31"/>
    <mergeCell ref="A11:D11"/>
    <mergeCell ref="A34:D34"/>
    <mergeCell ref="A4:D4"/>
    <mergeCell ref="A26:D26"/>
    <mergeCell ref="A30:D30"/>
    <mergeCell ref="A29:D29"/>
    <mergeCell ref="A25:D25"/>
    <mergeCell ref="A19:D19"/>
    <mergeCell ref="A2:D2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2026-05-26T03:30:10Z</dcterms:created>
  <dcterms:modified xmlns:dcterms="http://purl.org/dc/terms/" xmlns:xsi="http://www.w3.org/2001/XMLSchema-instance" xsi:type="dcterms:W3CDTF">2026-05-26T03:30:10Z</dcterms:modified>
</cp:coreProperties>
</file>