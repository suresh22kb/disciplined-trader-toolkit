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 Siz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0&quot;%&quot;"/>
  </numFmts>
  <fonts count="9">
    <font>
      <name val="Calibri"/>
      <family val="2"/>
      <color theme="1"/>
      <sz val="11"/>
      <scheme val="minor"/>
    </font>
    <font>
      <name val="Calibri"/>
      <b val="1"/>
      <color rgb="FFE5E7EB"/>
      <sz val="18"/>
    </font>
    <font>
      <name val="Calibri"/>
      <color rgb="FF94A3B8"/>
      <sz val="10"/>
    </font>
    <font>
      <name val="Calibri"/>
      <b val="1"/>
      <color rgb="FFF26B1F"/>
      <sz val="12"/>
    </font>
    <font>
      <name val="Calibri"/>
      <color rgb="FF94A3B8"/>
      <sz val="11"/>
    </font>
    <font>
      <name val="Consolas"/>
      <b val="1"/>
      <color rgb="FFE5E7EB"/>
      <sz val="12"/>
    </font>
    <font>
      <name val="Consolas"/>
      <b val="1"/>
      <color rgb="FF22C55E"/>
      <sz val="12"/>
    </font>
    <font>
      <name val="Calibri"/>
      <b val="1"/>
      <color rgb="FFF26B1F"/>
      <sz val="13"/>
    </font>
    <font>
      <name val="Calibri"/>
      <i val="1"/>
      <color rgb="FF94A3B8"/>
      <sz val="9"/>
    </font>
  </fonts>
  <fills count="5">
    <fill>
      <patternFill/>
    </fill>
    <fill>
      <patternFill patternType="gray125"/>
    </fill>
    <fill>
      <patternFill patternType="solid">
        <fgColor rgb="FF0A0E1A"/>
      </patternFill>
    </fill>
    <fill>
      <patternFill patternType="solid">
        <fgColor rgb="FF1E293B"/>
      </patternFill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164" fontId="6" fillId="4" borderId="1" applyAlignment="1" pivotButton="0" quotePrefix="0" xfId="0">
      <alignment horizontal="center" vertical="center"/>
    </xf>
    <xf numFmtId="1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 wrapText="1"/>
    </xf>
    <xf numFmtId="0" fontId="8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6" customWidth="1" min="4" max="4"/>
  </cols>
  <sheetData>
    <row r="1" ht="36" customHeight="1">
      <c r="A1" s="1" t="inlineStr">
        <is>
          <t>POSITION SIZER</t>
        </is>
      </c>
      <c r="B1" s="2" t="n"/>
      <c r="C1" s="2" t="n"/>
      <c r="D1" s="2" t="n"/>
    </row>
    <row r="2">
      <c r="A2" s="3" t="inlineStr">
        <is>
          <t>Lite of Risk Management Supervisor — 5 inputs → lot size that survives a full stop-out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INPUTS  ·  change these</t>
        </is>
      </c>
      <c r="B4" s="2" t="n"/>
      <c r="C4" s="2" t="n"/>
      <c r="D4" s="2" t="n"/>
    </row>
    <row r="5">
      <c r="A5" s="5" t="inlineStr">
        <is>
          <t>Capital (₹)</t>
        </is>
      </c>
      <c r="B5" s="6" t="n">
        <v>1000000</v>
      </c>
      <c r="C5" s="7" t="inlineStr">
        <is>
          <t>your total trading capital</t>
        </is>
      </c>
      <c r="D5" s="2" t="n"/>
    </row>
    <row r="6">
      <c r="A6" s="5" t="inlineStr">
        <is>
          <t>Max risk per trade (%)</t>
        </is>
      </c>
      <c r="B6" s="6" t="n">
        <v>1</v>
      </c>
      <c r="C6" s="7" t="inlineStr">
        <is>
          <t>typically 0.5–2.0%</t>
        </is>
      </c>
      <c r="D6" s="2" t="n"/>
    </row>
    <row r="7">
      <c r="A7" s="5" t="inlineStr">
        <is>
          <t>Option entry premium (₹)</t>
        </is>
      </c>
      <c r="B7" s="6" t="n">
        <v>80</v>
      </c>
      <c r="C7" s="7" t="inlineStr">
        <is>
          <t>premium paid per unit at entry</t>
        </is>
      </c>
      <c r="D7" s="2" t="n"/>
    </row>
    <row r="8">
      <c r="A8" s="5" t="inlineStr">
        <is>
          <t>Option stop premium (₹)</t>
        </is>
      </c>
      <c r="B8" s="6" t="n">
        <v>60</v>
      </c>
      <c r="C8" s="7" t="inlineStr">
        <is>
          <t>premium at which you'll exit</t>
        </is>
      </c>
      <c r="D8" s="2" t="n"/>
    </row>
    <row r="9">
      <c r="A9" s="5" t="inlineStr">
        <is>
          <t>Lot size (units)</t>
        </is>
      </c>
      <c r="B9" s="6" t="n">
        <v>65</v>
      </c>
      <c r="C9" s="7" t="inlineStr">
        <is>
          <t>Nifty 65 · BN 30 · Sensex 20 · FN 60 (Jan 2026)</t>
        </is>
      </c>
      <c r="D9" s="2" t="n"/>
    </row>
    <row r="10">
      <c r="A10" s="2" t="n"/>
      <c r="B10" s="2" t="n"/>
      <c r="C10" s="2" t="n"/>
      <c r="D10" s="2" t="n"/>
    </row>
    <row r="11">
      <c r="A11" s="4" t="inlineStr">
        <is>
          <t>OUTPUTS  ·  computed</t>
        </is>
      </c>
      <c r="B11" s="2" t="n"/>
      <c r="C11" s="2" t="n"/>
      <c r="D11" s="2" t="n"/>
    </row>
    <row r="12">
      <c r="A12" s="5" t="inlineStr">
        <is>
          <t>Risk per lot (₹)</t>
        </is>
      </c>
      <c r="B12" s="8">
        <f>(B7-B8)*B9</f>
        <v/>
      </c>
      <c r="C12" s="2" t="n"/>
      <c r="D12" s="2" t="n"/>
    </row>
    <row r="13">
      <c r="A13" s="5" t="inlineStr">
        <is>
          <t>Max rupees at risk</t>
        </is>
      </c>
      <c r="B13" s="8">
        <f>B5*B6/100</f>
        <v/>
      </c>
      <c r="C13" s="2" t="n"/>
      <c r="D13" s="2" t="n"/>
    </row>
    <row r="14">
      <c r="A14" s="5" t="inlineStr">
        <is>
          <t>Position size (lots)</t>
        </is>
      </c>
      <c r="B14" s="9">
        <f>IF(B12&lt;=0,"invalid stop",IF(B13&lt;B12,0,FLOOR(B13/B12,1)))</f>
        <v/>
      </c>
      <c r="C14" s="2" t="n"/>
      <c r="D14" s="2" t="n"/>
    </row>
    <row r="15">
      <c r="A15" s="5" t="inlineStr">
        <is>
          <t>Capital at risk (₹)</t>
        </is>
      </c>
      <c r="B15" s="8">
        <f>IF(ISNUMBER(B14),B14*B12,"—")</f>
        <v/>
      </c>
      <c r="C15" s="2" t="n"/>
      <c r="D15" s="2" t="n"/>
    </row>
    <row r="16">
      <c r="A16" s="5" t="inlineStr">
        <is>
          <t>Premium paid (₹)</t>
        </is>
      </c>
      <c r="B16" s="8">
        <f>IF(ISNUMBER(B14),B14*B7*B9,"—")</f>
        <v/>
      </c>
      <c r="C16" s="2" t="n"/>
      <c r="D16" s="2" t="n"/>
    </row>
    <row r="17">
      <c r="A17" s="5" t="inlineStr">
        <is>
          <t>% of capital at risk</t>
        </is>
      </c>
      <c r="B17" s="10">
        <f>IF(ISNUMBER(B14),B15/B5*100,"—")</f>
        <v/>
      </c>
      <c r="C17" s="2" t="n"/>
      <c r="D17" s="2" t="n"/>
    </row>
    <row r="18">
      <c r="A18" s="2" t="n"/>
      <c r="B18" s="2" t="n"/>
      <c r="C18" s="2" t="n"/>
      <c r="D18" s="2" t="n"/>
    </row>
    <row r="19">
      <c r="A19" s="4" t="inlineStr">
        <is>
          <t>STATUS</t>
        </is>
      </c>
      <c r="B19" s="2" t="n"/>
      <c r="C19" s="2" t="n"/>
      <c r="D19" s="2" t="n"/>
    </row>
    <row r="20" ht="30" customHeight="1">
      <c r="A20" s="11">
        <f>IF(NOT(ISNUMBER(B14)),"❌  Stop is invalid — entry premium must exceed stop premium.",IF(B14=0,"⚠  Risk per lot exceeds your max — widen the stop, raise % risk, or cut size.","✓  " &amp; B14 &amp; " lot" &amp; IF(B14=1,"","s") &amp; " ·  ₹" &amp; TEXT(B15,"#,##0") &amp; " at risk  ·  " &amp; ROUND(B17,2) &amp; "% of capital"))</f>
        <v/>
      </c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4" t="inlineStr">
        <is>
          <t>NOTES</t>
        </is>
      </c>
      <c r="B22" s="2" t="n"/>
      <c r="C22" s="2" t="n"/>
      <c r="D22" s="2" t="n"/>
    </row>
    <row r="23">
      <c r="A23" s="3" t="inlineStr">
        <is>
          <t>Lot sizes — Jan 2026 SEBI schedule:</t>
        </is>
      </c>
      <c r="B23" s="2" t="n"/>
      <c r="C23" s="2" t="n"/>
      <c r="D23" s="2" t="n"/>
    </row>
    <row r="24">
      <c r="A24" s="3" t="inlineStr">
        <is>
          <t>Nifty: 65  ·  BankNifty: 30  ·  Sensex: 20  ·  FinNifty: 60</t>
        </is>
      </c>
      <c r="B24" s="2" t="n"/>
      <c r="C24" s="2" t="n"/>
      <c r="D24" s="2" t="n"/>
    </row>
    <row r="25">
      <c r="A25" s="3" t="inlineStr">
        <is>
          <t>BankNifty weekly expiry removed Nov 2024 — only monthly available.</t>
        </is>
      </c>
      <c r="B25" s="2" t="n"/>
      <c r="C25" s="2" t="n"/>
      <c r="D25" s="2" t="n"/>
    </row>
    <row r="26">
      <c r="A26" s="2" t="n"/>
      <c r="B26" s="2" t="n"/>
      <c r="C26" s="2" t="n"/>
      <c r="D26" s="2" t="n"/>
    </row>
    <row r="27">
      <c r="A27" s="12" t="inlineStr">
        <is>
          <t>Educational only. Not financial advice. Build your own conviction.</t>
        </is>
      </c>
      <c r="B27" s="2" t="n"/>
      <c r="C27" s="2" t="n"/>
      <c r="D27" s="2" t="n"/>
    </row>
    <row r="28">
      <c r="A28" s="2" t="n"/>
      <c r="B28" s="2" t="n"/>
      <c r="C28" s="2" t="n"/>
      <c r="D28" s="2" t="n"/>
    </row>
  </sheetData>
  <mergeCells count="11">
    <mergeCell ref="A1:D1"/>
    <mergeCell ref="A23:D23"/>
    <mergeCell ref="A27:D27"/>
    <mergeCell ref="A22:D22"/>
    <mergeCell ref="A11:D11"/>
    <mergeCell ref="A4:D4"/>
    <mergeCell ref="A20:D20"/>
    <mergeCell ref="A25:D25"/>
    <mergeCell ref="A24:D24"/>
    <mergeCell ref="A19:D1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2026-05-26T03:30:10Z</dcterms:created>
  <dcterms:modified xmlns:dcterms="http://purl.org/dc/terms/" xmlns:xsi="http://www.w3.org/2001/XMLSchema-instance" xsi:type="dcterms:W3CDTF">2026-05-26T03:30:10Z</dcterms:modified>
</cp:coreProperties>
</file>